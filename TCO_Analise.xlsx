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Data Center Físico" sheetId="2" state="visible" r:id="rId2"/>
    <sheet name="AWS Cloud" sheetId="3" state="visible" r:id="rId3"/>
    <sheet name="Comparativo Gráfico" sheetId="4" state="visible" r:id="rId4"/>
    <sheet name="Premiss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55555"/>
      <sz val="12"/>
    </font>
    <font>
      <name val="Calibri"/>
      <color rgb="00777777"/>
      <sz val="10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2"/>
    </font>
    <font>
      <name val="Calibri"/>
      <b val="1"/>
      <sz val="11"/>
    </font>
    <font>
      <name val="Calibri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6" fillId="4" borderId="1" pivotButton="0" quotePrefix="0" xfId="0"/>
    <xf numFmtId="4" fontId="6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4" fontId="7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de Custos: Data Center Físico vs. AWS Cloud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'Comparativo Gráfico'!B3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'Comparativo Gráfico'!$A$4:$A$12</f>
            </numRef>
          </cat>
          <val>
            <numRef>
              <f>'Comparativo Gráfico'!$B$4:$B$12</f>
            </numRef>
          </val>
        </ser>
        <ser>
          <idx val="1"/>
          <order val="1"/>
          <tx>
            <strRef>
              <f>'Comparativo Gráfico'!C3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'Comparativo Gráfico'!$A$4:$A$12</f>
            </numRef>
          </cat>
          <val>
            <numRef>
              <f>'Comparativo Gráfico'!$C$4:$C$12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Categorias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Custo Total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4" customWidth="1" min="4" max="4"/>
    <col width="18" customWidth="1" min="5" max="5"/>
    <col width="45" customWidth="1" min="6" max="6"/>
  </cols>
  <sheetData>
    <row r="1">
      <c r="A1" s="1" t="inlineStr">
        <is>
          <t>ANÁLISE DE TCO (TOTAL COST OF OWNERSHIP)</t>
        </is>
      </c>
    </row>
    <row r="2">
      <c r="A2" s="2" t="inlineStr">
        <is>
          <t>Data Center Físico vs. Cloud AWS | Abstergo Industries</t>
        </is>
      </c>
    </row>
    <row r="3">
      <c r="A3" s="3" t="inlineStr">
        <is>
          <t>Período de Análise: 3 Anos (36 meses)</t>
        </is>
      </c>
    </row>
    <row r="5">
      <c r="A5" s="4" t="inlineStr">
        <is>
          <t>Categoria de Custo</t>
        </is>
      </c>
      <c r="B5" s="4" t="inlineStr">
        <is>
          <t>Data Center Físico (R$)</t>
        </is>
      </c>
      <c r="C5" s="4" t="inlineStr">
        <is>
          <t>AWS Cloud (R$)</t>
        </is>
      </c>
      <c r="D5" s="4" t="inlineStr">
        <is>
          <t>Economia (R$)</t>
        </is>
      </c>
      <c r="E5" s="4" t="inlineStr">
        <is>
          <t>Economia (%)</t>
        </is>
      </c>
      <c r="F5" s="4" t="inlineStr">
        <is>
          <t>Observação</t>
        </is>
      </c>
    </row>
    <row r="6">
      <c r="A6" s="5" t="inlineStr">
        <is>
          <t>Infraestrutura Física</t>
        </is>
      </c>
      <c r="B6" s="6" t="n">
        <v>480000</v>
      </c>
      <c r="C6" s="6" t="n">
        <v>0</v>
      </c>
      <c r="D6" s="6" t="n">
        <v>480000</v>
      </c>
      <c r="E6" s="7" t="inlineStr">
        <is>
          <t>100%</t>
        </is>
      </c>
      <c r="F6" s="5" t="inlineStr">
        <is>
          <t>Eliminação de gastos com terreno, construção, refrigeração e energia física</t>
        </is>
      </c>
    </row>
    <row r="7">
      <c r="A7" s="5" t="inlineStr">
        <is>
          <t>Hardware (Servidores)</t>
        </is>
      </c>
      <c r="B7" s="6" t="n">
        <v>360000</v>
      </c>
      <c r="C7" s="6" t="n">
        <v>0</v>
      </c>
      <c r="D7" s="6" t="n">
        <v>360000</v>
      </c>
      <c r="E7" s="7" t="inlineStr">
        <is>
          <t>100%</t>
        </is>
      </c>
      <c r="F7" s="5" t="inlineStr">
        <is>
          <t>Substituído por instâncias EC2 sob demanda (OpEx)</t>
        </is>
      </c>
    </row>
    <row r="8">
      <c r="A8" s="5" t="inlineStr">
        <is>
          <t>Licenças de Software</t>
        </is>
      </c>
      <c r="B8" s="6" t="n">
        <v>180000</v>
      </c>
      <c r="C8" s="6" t="n">
        <v>45000</v>
      </c>
      <c r="D8" s="6" t="n">
        <v>135000</v>
      </c>
      <c r="E8" s="7" t="inlineStr">
        <is>
          <t>75%</t>
        </is>
      </c>
      <c r="F8" s="5" t="inlineStr">
        <is>
          <t>Migração para Aurora Serverless e redução de licenças</t>
        </is>
      </c>
    </row>
    <row r="9">
      <c r="A9" s="5" t="inlineStr">
        <is>
          <t>Computação (EC2/Auto Scaling)</t>
        </is>
      </c>
      <c r="B9" s="6" t="n">
        <v>0</v>
      </c>
      <c r="C9" s="6" t="n">
        <v>216000</v>
      </c>
      <c r="D9" s="6" t="n">
        <v>-216000</v>
      </c>
      <c r="E9" s="7" t="inlineStr">
        <is>
          <t>-</t>
        </is>
      </c>
      <c r="F9" s="5" t="inlineStr">
        <is>
          <t>Instâncias sob demanda com Auto Scaling dinâmico</t>
        </is>
      </c>
    </row>
    <row r="10">
      <c r="A10" s="5" t="inlineStr">
        <is>
          <t>Armazenamento (S3)</t>
        </is>
      </c>
      <c r="B10" s="6" t="n">
        <v>0</v>
      </c>
      <c r="C10" s="6" t="n">
        <v>43200</v>
      </c>
      <c r="D10" s="6" t="n">
        <v>-43200</v>
      </c>
      <c r="E10" s="7" t="inlineStr">
        <is>
          <t>-</t>
        </is>
      </c>
      <c r="F10" s="5" t="inlineStr">
        <is>
          <t>S3 Standard + Glacier Deep Archive (Ciclo de Vida)</t>
        </is>
      </c>
    </row>
    <row r="11">
      <c r="A11" s="5" t="inlineStr">
        <is>
          <t>Computação Serverless (Lambda)</t>
        </is>
      </c>
      <c r="B11" s="6" t="n">
        <v>0</v>
      </c>
      <c r="C11" s="6" t="n">
        <v>12600</v>
      </c>
      <c r="D11" s="6" t="n">
        <v>-12600</v>
      </c>
      <c r="E11" s="7" t="inlineStr">
        <is>
          <t>-</t>
        </is>
      </c>
      <c r="F11" s="5" t="inlineStr">
        <is>
          <t>Execução sob demanda, sem custo ocioso</t>
        </is>
      </c>
    </row>
    <row r="12">
      <c r="A12" s="5" t="inlineStr">
        <is>
          <t>Manutenção e Operação</t>
        </is>
      </c>
      <c r="B12" s="6" t="n">
        <v>240000</v>
      </c>
      <c r="C12" s="6" t="n">
        <v>36000</v>
      </c>
      <c r="D12" s="6" t="n">
        <v>204000</v>
      </c>
      <c r="E12" s="7" t="inlineStr">
        <is>
          <t>85%</t>
        </is>
      </c>
      <c r="F12" s="5" t="inlineStr">
        <is>
          <t>Equipe reduzida; serviços gerenciados pela AWS</t>
        </is>
      </c>
    </row>
    <row r="13">
      <c r="A13" s="5" t="inlineStr">
        <is>
          <t>Conectividade e Rede</t>
        </is>
      </c>
      <c r="B13" s="6" t="n">
        <v>90000</v>
      </c>
      <c r="C13" s="6" t="n">
        <v>54000</v>
      </c>
      <c r="D13" s="6" t="n">
        <v>36000</v>
      </c>
      <c r="E13" s="7" t="inlineStr">
        <is>
          <t>40%</t>
        </is>
      </c>
      <c r="F13" s="5" t="inlineStr">
        <is>
          <t>AWS Direct Connect vs. links dedicados físicos</t>
        </is>
      </c>
    </row>
    <row r="14">
      <c r="A14" s="5" t="inlineStr">
        <is>
          <t>Segurança e Compliance</t>
        </is>
      </c>
      <c r="B14" s="6" t="n">
        <v>120000</v>
      </c>
      <c r="C14" s="6" t="n">
        <v>28800</v>
      </c>
      <c r="D14" s="6" t="n">
        <v>91200</v>
      </c>
      <c r="E14" s="7" t="inlineStr">
        <is>
          <t>76%</t>
        </is>
      </c>
      <c r="F14" s="5" t="inlineStr">
        <is>
          <t>Ferramentas nativas AWS + criptografia integrada</t>
        </is>
      </c>
    </row>
    <row r="15">
      <c r="A15" s="8" t="inlineStr">
        <is>
          <t>TOTAL 3 ANOS</t>
        </is>
      </c>
      <c r="B15" s="9" t="n">
        <v>1470000</v>
      </c>
      <c r="C15" s="9" t="n">
        <v>435600</v>
      </c>
      <c r="D15" s="9" t="n">
        <v>1034400</v>
      </c>
      <c r="E15" s="8" t="inlineStr">
        <is>
          <t>70.4%</t>
        </is>
      </c>
      <c r="F15" s="8" t="n"/>
    </row>
  </sheetData>
  <mergeCells count="4">
    <mergeCell ref="A3:F3"/>
    <mergeCell ref="A2:F2"/>
    <mergeCell ref="A1:F1"/>
    <mergeCell ref="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2" customWidth="1" min="3" max="3"/>
    <col width="15" customWidth="1" min="4" max="4"/>
    <col width="15" customWidth="1" min="5" max="5"/>
    <col width="22" customWidth="1" min="6" max="6"/>
    <col width="25" customWidth="1" min="7" max="7"/>
  </cols>
  <sheetData>
    <row r="1">
      <c r="A1" s="10" t="inlineStr">
        <is>
          <t>CUSTOS DETALHADOS - DATA CENTER FÍSICO (36 MESES)</t>
        </is>
      </c>
    </row>
    <row r="3">
      <c r="A3" s="4" t="inlineStr">
        <is>
          <t>Item</t>
        </is>
      </c>
      <c r="B3" s="4" t="inlineStr">
        <is>
          <t>Descrição</t>
        </is>
      </c>
      <c r="C3" s="4" t="inlineStr">
        <is>
          <t>Custo Unitário (R$)</t>
        </is>
      </c>
      <c r="D3" s="4" t="inlineStr">
        <is>
          <t>Quantidade</t>
        </is>
      </c>
      <c r="E3" s="4" t="inlineStr">
        <is>
          <t>Frequência</t>
        </is>
      </c>
      <c r="F3" s="4" t="inlineStr">
        <is>
          <t>Custo Anual (R$)</t>
        </is>
      </c>
      <c r="G3" s="4" t="inlineStr">
        <is>
          <t>Custo Total 3 Anos (R$)</t>
        </is>
      </c>
    </row>
    <row r="4">
      <c r="A4" s="5" t="inlineStr">
        <is>
          <t>Terreno e Construção</t>
        </is>
      </c>
      <c r="B4" s="5" t="inlineStr">
        <is>
          <t>Aquisição/adequação espaço físico</t>
        </is>
      </c>
      <c r="C4" s="6" t="n">
        <v>200000</v>
      </c>
      <c r="D4" s="5" t="n">
        <v>1</v>
      </c>
      <c r="E4" s="5" t="inlineStr">
        <is>
          <t>Única</t>
        </is>
      </c>
      <c r="F4" s="6" t="n">
        <v>200000</v>
      </c>
      <c r="G4" s="6" t="n">
        <v>200000</v>
      </c>
    </row>
    <row r="5">
      <c r="A5" s="5" t="inlineStr">
        <is>
          <t>Servidores Físicos</t>
        </is>
      </c>
      <c r="B5" s="5" t="inlineStr">
        <is>
          <t>10 servidores alta performance</t>
        </is>
      </c>
      <c r="C5" s="6" t="n">
        <v>12000</v>
      </c>
      <c r="D5" s="5" t="n">
        <v>10</v>
      </c>
      <c r="E5" s="5" t="inlineStr">
        <is>
          <t>Única</t>
        </is>
      </c>
      <c r="F5" s="6" t="n">
        <v>120000</v>
      </c>
      <c r="G5" s="6" t="n">
        <v>120000</v>
      </c>
    </row>
    <row r="6">
      <c r="A6" s="5" t="inlineStr">
        <is>
          <t>Storage SAN/NAS</t>
        </is>
      </c>
      <c r="B6" s="5" t="inlineStr">
        <is>
          <t>Armazenamento corporativo 100TB</t>
        </is>
      </c>
      <c r="C6" s="6" t="n">
        <v>80000</v>
      </c>
      <c r="D6" s="5" t="n">
        <v>1</v>
      </c>
      <c r="E6" s="5" t="inlineStr">
        <is>
          <t>Única</t>
        </is>
      </c>
      <c r="F6" s="6" t="n">
        <v>80000</v>
      </c>
      <c r="G6" s="6" t="n">
        <v>80000</v>
      </c>
    </row>
    <row r="7">
      <c r="A7" s="5" t="inlineStr">
        <is>
          <t>Equipamentos de Rede</t>
        </is>
      </c>
      <c r="B7" s="5" t="inlineStr">
        <is>
          <t>Switches, roteadores, firewalls</t>
        </is>
      </c>
      <c r="C7" s="6" t="n">
        <v>40000</v>
      </c>
      <c r="D7" s="5" t="n">
        <v>1</v>
      </c>
      <c r="E7" s="5" t="inlineStr">
        <is>
          <t>Única</t>
        </is>
      </c>
      <c r="F7" s="6" t="n">
        <v>40000</v>
      </c>
      <c r="G7" s="6" t="n">
        <v>40000</v>
      </c>
    </row>
    <row r="8">
      <c r="A8" s="5" t="inlineStr">
        <is>
          <t>Nobreak e Geradores</t>
        </is>
      </c>
      <c r="B8" s="5" t="inlineStr">
        <is>
          <t>Sistema de energia redundante</t>
        </is>
      </c>
      <c r="C8" s="6" t="n">
        <v>30000</v>
      </c>
      <c r="D8" s="5" t="n">
        <v>1</v>
      </c>
      <c r="E8" s="5" t="inlineStr">
        <is>
          <t>Única</t>
        </is>
      </c>
      <c r="F8" s="6" t="n">
        <v>30000</v>
      </c>
      <c r="G8" s="6" t="n">
        <v>30000</v>
      </c>
    </row>
    <row r="9">
      <c r="A9" s="5" t="inlineStr">
        <is>
          <t>Sistema de Refrigeração</t>
        </is>
      </c>
      <c r="B9" s="5" t="inlineStr">
        <is>
          <t>HVAC precisão para DC</t>
        </is>
      </c>
      <c r="C9" s="6" t="n">
        <v>25000</v>
      </c>
      <c r="D9" s="5" t="n">
        <v>2</v>
      </c>
      <c r="E9" s="5" t="inlineStr">
        <is>
          <t>Única</t>
        </is>
      </c>
      <c r="F9" s="6" t="n">
        <v>50000</v>
      </c>
      <c r="G9" s="6" t="n">
        <v>50000</v>
      </c>
    </row>
    <row r="10">
      <c r="A10" s="5" t="inlineStr">
        <is>
          <t>Licenças Windows Server</t>
        </is>
      </c>
      <c r="B10" s="5" t="inlineStr">
        <is>
          <t>Datacenter Edition</t>
        </is>
      </c>
      <c r="C10" s="6" t="n">
        <v>8000</v>
      </c>
      <c r="D10" s="5" t="n">
        <v>5</v>
      </c>
      <c r="E10" s="5" t="inlineStr">
        <is>
          <t>Anual</t>
        </is>
      </c>
      <c r="F10" s="6" t="n">
        <v>40000</v>
      </c>
      <c r="G10" s="6" t="n">
        <v>120000</v>
      </c>
    </row>
    <row r="11">
      <c r="A11" s="5" t="inlineStr">
        <is>
          <t>Licenças SQL Server</t>
        </is>
      </c>
      <c r="B11" s="5" t="inlineStr">
        <is>
          <t>Enterprise Edition</t>
        </is>
      </c>
      <c r="C11" s="6" t="n">
        <v>15000</v>
      </c>
      <c r="D11" s="5" t="n">
        <v>2</v>
      </c>
      <c r="E11" s="5" t="inlineStr">
        <is>
          <t>Anual</t>
        </is>
      </c>
      <c r="F11" s="6" t="n">
        <v>30000</v>
      </c>
      <c r="G11" s="6" t="n">
        <v>90000</v>
      </c>
    </row>
    <row r="12">
      <c r="A12" s="5" t="inlineStr">
        <is>
          <t>Licenças VMware</t>
        </is>
      </c>
      <c r="B12" s="5" t="inlineStr">
        <is>
          <t>vSphere Enterprise</t>
        </is>
      </c>
      <c r="C12" s="6" t="n">
        <v>12000</v>
      </c>
      <c r="D12" s="5" t="n">
        <v>3</v>
      </c>
      <c r="E12" s="5" t="inlineStr">
        <is>
          <t>Anual</t>
        </is>
      </c>
      <c r="F12" s="6" t="n">
        <v>36000</v>
      </c>
      <c r="G12" s="6" t="n">
        <v>108000</v>
      </c>
    </row>
    <row r="13">
      <c r="A13" s="5" t="inlineStr">
        <is>
          <t>Energia Elétrica</t>
        </is>
      </c>
      <c r="B13" s="5" t="inlineStr">
        <is>
          <t>Consumo + refrigeração</t>
        </is>
      </c>
      <c r="C13" s="6" t="n">
        <v>3500</v>
      </c>
      <c r="D13" s="5" t="n">
        <v>12</v>
      </c>
      <c r="E13" s="5" t="inlineStr">
        <is>
          <t>Mensal</t>
        </is>
      </c>
      <c r="F13" s="6" t="n">
        <v>42000</v>
      </c>
      <c r="G13" s="6" t="n">
        <v>126000</v>
      </c>
    </row>
    <row r="14">
      <c r="A14" s="5" t="inlineStr">
        <is>
          <t>Link Dedicado Internet</t>
        </is>
      </c>
      <c r="B14" s="5" t="inlineStr">
        <is>
          <t>Fibra 1Gbps empresarial</t>
        </is>
      </c>
      <c r="C14" s="6" t="n">
        <v>2500</v>
      </c>
      <c r="D14" s="5" t="n">
        <v>12</v>
      </c>
      <c r="E14" s="5" t="inlineStr">
        <is>
          <t>Mensal</t>
        </is>
      </c>
      <c r="F14" s="6" t="n">
        <v>30000</v>
      </c>
      <c r="G14" s="6" t="n">
        <v>90000</v>
      </c>
    </row>
    <row r="15">
      <c r="A15" s="5" t="inlineStr">
        <is>
          <t>Equipe Técnica</t>
        </is>
      </c>
      <c r="B15" s="5" t="inlineStr">
        <is>
          <t>2 sysadmins + 1 network</t>
        </is>
      </c>
      <c r="C15" s="6" t="n">
        <v>8000</v>
      </c>
      <c r="D15" s="5" t="n">
        <v>3</v>
      </c>
      <c r="E15" s="5" t="inlineStr">
        <is>
          <t>Mensal</t>
        </is>
      </c>
      <c r="F15" s="6" t="n">
        <v>288000</v>
      </c>
      <c r="G15" s="6" t="n">
        <v>864000</v>
      </c>
    </row>
    <row r="16">
      <c r="A16" s="5" t="inlineStr">
        <is>
          <t>Manutenção Hardware</t>
        </is>
      </c>
      <c r="B16" s="5" t="inlineStr">
        <is>
          <t>Peças e contratos</t>
        </is>
      </c>
      <c r="C16" s="6" t="n">
        <v>15000</v>
      </c>
      <c r="D16" s="5" t="n">
        <v>1</v>
      </c>
      <c r="E16" s="5" t="inlineStr">
        <is>
          <t>Anual</t>
        </is>
      </c>
      <c r="F16" s="6" t="n">
        <v>15000</v>
      </c>
      <c r="G16" s="6" t="n">
        <v>45000</v>
      </c>
    </row>
    <row r="17">
      <c r="A17" s="5" t="inlineStr">
        <is>
          <t>Segurança Física</t>
        </is>
      </c>
      <c r="B17" s="5" t="inlineStr">
        <is>
          <t>Vigilância + controle acesso</t>
        </is>
      </c>
      <c r="C17" s="6" t="n">
        <v>3000</v>
      </c>
      <c r="D17" s="5" t="n">
        <v>12</v>
      </c>
      <c r="E17" s="5" t="inlineStr">
        <is>
          <t>Mensal</t>
        </is>
      </c>
      <c r="F17" s="6" t="n">
        <v>36000</v>
      </c>
      <c r="G17" s="6" t="n">
        <v>108000</v>
      </c>
    </row>
    <row r="18">
      <c r="A18" s="5" t="inlineStr">
        <is>
          <t>Segurança Lógica</t>
        </is>
      </c>
      <c r="B18" s="5" t="inlineStr">
        <is>
          <t>Antivírus, firewall, IPS</t>
        </is>
      </c>
      <c r="C18" s="6" t="n">
        <v>8000</v>
      </c>
      <c r="D18" s="5" t="n">
        <v>1</v>
      </c>
      <c r="E18" s="5" t="inlineStr">
        <is>
          <t>Anual</t>
        </is>
      </c>
      <c r="F18" s="6" t="n">
        <v>8000</v>
      </c>
      <c r="G18" s="6" t="n">
        <v>24000</v>
      </c>
    </row>
    <row r="19">
      <c r="A19" s="11" t="inlineStr">
        <is>
          <t>TOTAL</t>
        </is>
      </c>
      <c r="B19" s="11" t="n"/>
      <c r="C19" s="11" t="n"/>
      <c r="D19" s="11" t="n"/>
      <c r="E19" s="11" t="n"/>
      <c r="F19" s="12" t="n">
        <v>1045000</v>
      </c>
      <c r="G19" s="12" t="n">
        <v>2095000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22" customWidth="1" min="4" max="4"/>
    <col width="15" customWidth="1" min="5" max="5"/>
    <col width="22" customWidth="1" min="6" max="6"/>
    <col width="22" customWidth="1" min="7" max="7"/>
    <col width="35" customWidth="1" min="8" max="8"/>
  </cols>
  <sheetData>
    <row r="1">
      <c r="A1" s="10" t="inlineStr">
        <is>
          <t>CUSTOS DETALHADOS - AWS CLOUD (36 MESES)</t>
        </is>
      </c>
    </row>
    <row r="3">
      <c r="A3" s="4" t="inlineStr">
        <is>
          <t>Serviço AWS</t>
        </is>
      </c>
      <c r="B3" s="4" t="inlineStr">
        <is>
          <t>Configuração</t>
        </is>
      </c>
      <c r="C3" s="4" t="inlineStr">
        <is>
          <t>Tipo de Custo</t>
        </is>
      </c>
      <c r="D3" s="4" t="inlineStr">
        <is>
          <t>Custo Mensal (R$)</t>
        </is>
      </c>
      <c r="E3" s="4" t="inlineStr">
        <is>
          <t>Meses Ativos</t>
        </is>
      </c>
      <c r="F3" s="4" t="inlineStr">
        <is>
          <t>Custo Anual (R$)</t>
        </is>
      </c>
      <c r="G3" s="4" t="inlineStr">
        <is>
          <t>Custo 3 Anos (R$)</t>
        </is>
      </c>
      <c r="H3" s="4" t="inlineStr">
        <is>
          <t>Observação</t>
        </is>
      </c>
    </row>
    <row r="4">
      <c r="A4" s="5" t="inlineStr">
        <is>
          <t>EC2 (Computação)</t>
        </is>
      </c>
      <c r="B4" s="5" t="inlineStr">
        <is>
          <t>6 instâncias t3.large + 4 t3.xlarge</t>
        </is>
      </c>
      <c r="C4" s="5" t="inlineStr">
        <is>
          <t>On-Demand / Saving Plans</t>
        </is>
      </c>
      <c r="D4" s="6" t="n">
        <v>4500</v>
      </c>
      <c r="E4" s="5" t="n">
        <v>36</v>
      </c>
      <c r="F4" s="6" t="n">
        <v>54000</v>
      </c>
      <c r="G4" s="6" t="n">
        <v>162000</v>
      </c>
      <c r="H4" s="5" t="inlineStr">
        <is>
          <t>Auto Scaling reduz para 4 fora de pico</t>
        </is>
      </c>
    </row>
    <row r="5">
      <c r="A5" s="5" t="inlineStr">
        <is>
          <t>EC2 Auto Scaling</t>
        </is>
      </c>
      <c r="B5" s="5" t="inlineStr">
        <is>
          <t>Escalonamento dinâmico</t>
        </is>
      </c>
      <c r="C5" s="5" t="inlineStr">
        <is>
          <t>Sem custo adicional</t>
        </is>
      </c>
      <c r="D5" s="6" t="n">
        <v>0</v>
      </c>
      <c r="E5" s="5" t="n">
        <v>36</v>
      </c>
      <c r="F5" s="6" t="n">
        <v>0</v>
      </c>
      <c r="G5" s="6" t="n">
        <v>0</v>
      </c>
      <c r="H5" s="5" t="inlineStr">
        <is>
          <t>Incluso; reduz instâncias ociosas</t>
        </is>
      </c>
    </row>
    <row r="6">
      <c r="A6" s="5" t="inlineStr">
        <is>
          <t>S3 Standard</t>
        </is>
      </c>
      <c r="B6" s="5" t="inlineStr">
        <is>
          <t>Dados ativos ~5TB</t>
        </is>
      </c>
      <c r="C6" s="5" t="inlineStr">
        <is>
          <t>Armazenamento + Requisições</t>
        </is>
      </c>
      <c r="D6" s="6" t="n">
        <v>1800</v>
      </c>
      <c r="E6" s="5" t="n">
        <v>36</v>
      </c>
      <c r="F6" s="6" t="n">
        <v>21600</v>
      </c>
      <c r="G6" s="6" t="n">
        <v>64800</v>
      </c>
      <c r="H6" s="5" t="inlineStr">
        <is>
          <t>Acesso frequente</t>
        </is>
      </c>
    </row>
    <row r="7">
      <c r="A7" s="5" t="inlineStr">
        <is>
          <t>S3 Glacier Deep Archive</t>
        </is>
      </c>
      <c r="B7" s="5" t="inlineStr">
        <is>
          <t>Arquivo longo prazo ~50TB</t>
        </is>
      </c>
      <c r="C7" s="5" t="inlineStr">
        <is>
          <t>Armazenamento (R$0,005/GB)</t>
        </is>
      </c>
      <c r="D7" s="6" t="n">
        <v>250</v>
      </c>
      <c r="E7" s="5" t="n">
        <v>36</v>
      </c>
      <c r="F7" s="6" t="n">
        <v>3000</v>
      </c>
      <c r="G7" s="6" t="n">
        <v>9000</v>
      </c>
      <c r="H7" s="5" t="inlineStr">
        <is>
          <t>Dados &gt; 90 dias sem acesso</t>
        </is>
      </c>
    </row>
    <row r="8">
      <c r="A8" s="5" t="inlineStr">
        <is>
          <t>AWS Lambda</t>
        </is>
      </c>
      <c r="B8" s="5" t="inlineStr">
        <is>
          <t>~5M invocações/mês</t>
        </is>
      </c>
      <c r="C8" s="5" t="inlineStr">
        <is>
          <t>Pay-per-use</t>
        </is>
      </c>
      <c r="D8" s="6" t="n">
        <v>350</v>
      </c>
      <c r="E8" s="5" t="n">
        <v>36</v>
      </c>
      <c r="F8" s="6" t="n">
        <v>4200</v>
      </c>
      <c r="G8" s="6" t="n">
        <v>12600</v>
      </c>
      <c r="H8" s="5" t="inlineStr">
        <is>
          <t>Processos esporádicos (PDF, alertas)</t>
        </is>
      </c>
    </row>
    <row r="9">
      <c r="A9" s="5" t="inlineStr">
        <is>
          <t>Amazon Aurora Serverless</t>
        </is>
      </c>
      <c r="B9" s="5" t="inlineStr">
        <is>
          <t>Banco de dados principal</t>
        </is>
      </c>
      <c r="C9" s="5" t="inlineStr">
        <is>
          <t>ACU/hora</t>
        </is>
      </c>
      <c r="D9" s="6" t="n">
        <v>1200</v>
      </c>
      <c r="E9" s="5" t="n">
        <v>36</v>
      </c>
      <c r="F9" s="6" t="n">
        <v>14400</v>
      </c>
      <c r="G9" s="6" t="n">
        <v>43200</v>
      </c>
      <c r="H9" s="5" t="inlineStr">
        <is>
          <t>Compatível MySQL/PostgreSQL</t>
        </is>
      </c>
    </row>
    <row r="10">
      <c r="A10" s="5" t="inlineStr">
        <is>
          <t>AWS Direct Connect</t>
        </is>
      </c>
      <c r="B10" s="5" t="inlineStr">
        <is>
          <t>Link dedicado 500Mbps</t>
        </is>
      </c>
      <c r="C10" s="5" t="inlineStr">
        <is>
          <t>Porta + Transferência</t>
        </is>
      </c>
      <c r="D10" s="6" t="n">
        <v>1800</v>
      </c>
      <c r="E10" s="5" t="n">
        <v>36</v>
      </c>
      <c r="F10" s="6" t="n">
        <v>21600</v>
      </c>
      <c r="G10" s="6" t="n">
        <v>64800</v>
      </c>
      <c r="H10" s="5" t="inlineStr">
        <is>
          <t>Substitui links dedicados físicos</t>
        </is>
      </c>
    </row>
    <row r="11">
      <c r="A11" s="5" t="inlineStr">
        <is>
          <t>AWS Shield + WAF</t>
        </is>
      </c>
      <c r="B11" s="5" t="inlineStr">
        <is>
          <t>Proteção DDoS + Firewall</t>
        </is>
      </c>
      <c r="C11" s="5" t="inlineStr">
        <is>
          <t>Serviço gerenciado</t>
        </is>
      </c>
      <c r="D11" s="6" t="n">
        <v>400</v>
      </c>
      <c r="E11" s="5" t="n">
        <v>36</v>
      </c>
      <c r="F11" s="6" t="n">
        <v>4800</v>
      </c>
      <c r="G11" s="6" t="n">
        <v>14400</v>
      </c>
      <c r="H11" s="5" t="inlineStr">
        <is>
          <t>Segurança integrada</t>
        </is>
      </c>
    </row>
    <row r="12">
      <c r="A12" s="5" t="inlineStr">
        <is>
          <t>AWS KMS + CloudTrail</t>
        </is>
      </c>
      <c r="B12" s="5" t="inlineStr">
        <is>
          <t>Criptografia + Auditoria</t>
        </is>
      </c>
      <c r="C12" s="5" t="inlineStr">
        <is>
          <t>Serviço gerenciado</t>
        </is>
      </c>
      <c r="D12" s="6" t="n">
        <v>200</v>
      </c>
      <c r="E12" s="5" t="n">
        <v>36</v>
      </c>
      <c r="F12" s="6" t="n">
        <v>2400</v>
      </c>
      <c r="G12" s="6" t="n">
        <v>7200</v>
      </c>
      <c r="H12" s="5" t="inlineStr">
        <is>
          <t>Compliance ANVISA</t>
        </is>
      </c>
    </row>
    <row r="13">
      <c r="A13" s="5" t="inlineStr">
        <is>
          <t>Suporte Empresarial</t>
        </is>
      </c>
      <c r="B13" s="5" t="inlineStr">
        <is>
          <t>AWS Business Support</t>
        </is>
      </c>
      <c r="C13" s="5" t="inlineStr">
        <is>
          <t>Mensal (10% conta)</t>
        </is>
      </c>
      <c r="D13" s="6" t="n">
        <v>800</v>
      </c>
      <c r="E13" s="5" t="n">
        <v>36</v>
      </c>
      <c r="F13" s="6" t="n">
        <v>9600</v>
      </c>
      <c r="G13" s="6" t="n">
        <v>28800</v>
      </c>
      <c r="H13" s="5" t="inlineStr">
        <is>
          <t>24/7 resposta &lt; 1 hora</t>
        </is>
      </c>
    </row>
    <row r="14">
      <c r="A14" s="11" t="inlineStr">
        <is>
          <t>TOTAL</t>
        </is>
      </c>
      <c r="B14" s="11" t="n"/>
      <c r="C14" s="11" t="n"/>
      <c r="D14" s="11" t="n"/>
      <c r="E14" s="11" t="n"/>
      <c r="F14" s="12" t="n">
        <v>135600</v>
      </c>
      <c r="G14" s="12" t="n">
        <v>406800</v>
      </c>
      <c r="H14" s="11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0" t="inlineStr">
        <is>
          <t>COMPARATIVO VISUAL - DATA CENTER vs. AWS CLOUD</t>
        </is>
      </c>
    </row>
    <row r="3">
      <c r="A3" s="4" t="inlineStr">
        <is>
          <t>CATEGORIA</t>
        </is>
      </c>
      <c r="B3" s="4" t="inlineStr">
        <is>
          <t>DATA CENTER (R$)</t>
        </is>
      </c>
      <c r="C3" s="4" t="inlineStr">
        <is>
          <t>AWS CLOUD (R$)</t>
        </is>
      </c>
      <c r="D3" s="4" t="inlineStr">
        <is>
          <t>ECONOMIA (R$)</t>
        </is>
      </c>
    </row>
    <row r="4">
      <c r="A4" s="13" t="inlineStr">
        <is>
          <t>Infraestrutura
Física</t>
        </is>
      </c>
      <c r="B4" s="14" t="n">
        <v>480000</v>
      </c>
      <c r="C4" s="14" t="n">
        <v>0</v>
      </c>
      <c r="D4" s="14" t="n">
        <v>480000</v>
      </c>
    </row>
    <row r="5">
      <c r="A5" s="13" t="inlineStr">
        <is>
          <t>Hardware e
Equipamentos</t>
        </is>
      </c>
      <c r="B5" s="14" t="n">
        <v>360000</v>
      </c>
      <c r="C5" s="14" t="n">
        <v>0</v>
      </c>
      <c r="D5" s="14" t="n">
        <v>360000</v>
      </c>
    </row>
    <row r="6">
      <c r="A6" s="13" t="inlineStr">
        <is>
          <t>Licenças de
Software</t>
        </is>
      </c>
      <c r="B6" s="14" t="n">
        <v>180000</v>
      </c>
      <c r="C6" s="14" t="n">
        <v>45000</v>
      </c>
      <c r="D6" s="14" t="n">
        <v>135000</v>
      </c>
    </row>
    <row r="7">
      <c r="A7" s="13" t="inlineStr">
        <is>
          <t>Computação
(EC2)</t>
        </is>
      </c>
      <c r="B7" s="14" t="n">
        <v>0</v>
      </c>
      <c r="C7" s="14" t="n">
        <v>216000</v>
      </c>
      <c r="D7" s="14" t="n">
        <v>-216000</v>
      </c>
    </row>
    <row r="8">
      <c r="A8" s="13" t="inlineStr">
        <is>
          <t>Armazenamento
(S3)</t>
        </is>
      </c>
      <c r="B8" s="14" t="n">
        <v>0</v>
      </c>
      <c r="C8" s="14" t="n">
        <v>43200</v>
      </c>
      <c r="D8" s="14" t="n">
        <v>-43200</v>
      </c>
    </row>
    <row r="9">
      <c r="A9" s="13" t="inlineStr">
        <is>
          <t>Computação
(Lambda)</t>
        </is>
      </c>
      <c r="B9" s="14" t="n">
        <v>0</v>
      </c>
      <c r="C9" s="14" t="n">
        <v>12600</v>
      </c>
      <c r="D9" s="14" t="n">
        <v>-12600</v>
      </c>
    </row>
    <row r="10">
      <c r="A10" s="13" t="inlineStr">
        <is>
          <t>Manutenção e
Operação</t>
        </is>
      </c>
      <c r="B10" s="14" t="n">
        <v>240000</v>
      </c>
      <c r="C10" s="14" t="n">
        <v>36000</v>
      </c>
      <c r="D10" s="14" t="n">
        <v>204000</v>
      </c>
    </row>
    <row r="11">
      <c r="A11" s="13" t="inlineStr">
        <is>
          <t>Conectividade
e Rede</t>
        </is>
      </c>
      <c r="B11" s="14" t="n">
        <v>90000</v>
      </c>
      <c r="C11" s="14" t="n">
        <v>54000</v>
      </c>
      <c r="D11" s="14" t="n">
        <v>36000</v>
      </c>
    </row>
    <row r="12">
      <c r="A12" s="13" t="inlineStr">
        <is>
          <t>Segurança e
Compliance</t>
        </is>
      </c>
      <c r="B12" s="14" t="n">
        <v>120000</v>
      </c>
      <c r="C12" s="14" t="n">
        <v>28800</v>
      </c>
      <c r="D12" s="14" t="n">
        <v>91200</v>
      </c>
    </row>
    <row r="13">
      <c r="A13" s="15" t="inlineStr">
        <is>
          <t>TOTAL</t>
        </is>
      </c>
      <c r="B13" s="16" t="n">
        <v>1470000</v>
      </c>
      <c r="C13" s="16" t="n">
        <v>435600</v>
      </c>
      <c r="D13" s="16" t="n">
        <v>1034400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5" customWidth="1" min="3" max="3"/>
  </cols>
  <sheetData>
    <row r="1">
      <c r="A1" s="10" t="inlineStr">
        <is>
          <t>PREMISSAS DA ANÁLISE DE TCO</t>
        </is>
      </c>
    </row>
    <row r="3">
      <c r="A3" s="17" t="inlineStr">
        <is>
          <t>PREMISSA</t>
        </is>
      </c>
      <c r="B3" s="17" t="inlineStr">
        <is>
          <t>VALOR</t>
        </is>
      </c>
      <c r="C3" s="17" t="inlineStr">
        <is>
          <t>OBSERVAÇÃO</t>
        </is>
      </c>
    </row>
    <row r="4">
      <c r="A4" s="18" t="inlineStr">
        <is>
          <t>Período de Análise</t>
        </is>
      </c>
      <c r="B4" s="5" t="inlineStr">
        <is>
          <t>36 meses (3 anos)</t>
        </is>
      </c>
      <c r="C4" s="5" t="inlineStr">
        <is>
          <t>Ciclo típico de renovação tecnológica</t>
        </is>
      </c>
    </row>
    <row r="5">
      <c r="A5" s="18" t="inlineStr">
        <is>
          <t>Taxa de Câmbio (USD/BRL)</t>
        </is>
      </c>
      <c r="B5" s="5" t="inlineStr">
        <is>
          <t>R$ 5,20</t>
        </is>
      </c>
      <c r="C5" s="5" t="inlineStr">
        <is>
          <t>Utilizado para conversão de custos AWS</t>
        </is>
      </c>
    </row>
    <row r="6">
      <c r="A6" s="18" t="inlineStr">
        <is>
          <t>Crescimento Anual de Dados</t>
        </is>
      </c>
      <c r="B6" s="5" t="inlineStr">
        <is>
          <t>25%</t>
        </is>
      </c>
      <c r="C6" s="5" t="inlineStr">
        <is>
          <t>Estimativa conservadora para setor farmacêutico</t>
        </is>
      </c>
    </row>
    <row r="7">
      <c r="A7" s="18" t="inlineStr">
        <is>
          <t>Horas de Pico Diárias</t>
        </is>
      </c>
      <c r="B7" s="5" t="inlineStr">
        <is>
          <t>10 horas/dia</t>
        </is>
      </c>
      <c r="C7" s="5" t="inlineStr">
        <is>
          <t>Horário comercial + processamento noturno</t>
        </is>
      </c>
    </row>
    <row r="8">
      <c r="A8" s="18" t="inlineStr">
        <is>
          <t>Redução com Auto Scaling</t>
        </is>
      </c>
      <c r="B8" s="5" t="inlineStr">
        <is>
          <t>40%</t>
        </is>
      </c>
      <c r="C8" s="5" t="inlineStr">
        <is>
          <t>Instâncias desligadas fora do pico</t>
        </is>
      </c>
    </row>
    <row r="9">
      <c r="A9" s="18" t="inlineStr">
        <is>
          <t>Tempo Retenção Dados (S3)</t>
        </is>
      </c>
      <c r="B9" s="5" t="inlineStr">
        <is>
          <t>90 dias (Standard) → Glacier</t>
        </is>
      </c>
      <c r="C9" s="5" t="inlineStr">
        <is>
          <t>Conformidade ANVISA 7-10 anos</t>
        </is>
      </c>
    </row>
    <row r="10">
      <c r="A10" s="18" t="inlineStr">
        <is>
          <t>Salários Equipe Técnica</t>
        </is>
      </c>
      <c r="B10" s="5" t="inlineStr">
        <is>
          <t>R$ 8.000/mês (bruto)</t>
        </is>
      </c>
      <c r="C10" s="5" t="inlineStr">
        <is>
          <t>2 sysadmins + 1 network engineer</t>
        </is>
      </c>
    </row>
    <row r="11">
      <c r="A11" s="18" t="inlineStr">
        <is>
          <t>Custo Energia Elétrica</t>
        </is>
      </c>
      <c r="B11" s="5" t="inlineStr">
        <is>
          <t>R$ 0,85/kWh</t>
        </is>
      </c>
      <c r="C11" s="5" t="inlineStr">
        <is>
          <t>Tarifa industrial</t>
        </is>
      </c>
    </row>
    <row r="12">
      <c r="A12" s="18" t="inlineStr">
        <is>
          <t>Depreciação Hardware</t>
        </is>
      </c>
      <c r="B12" s="5" t="inlineStr">
        <is>
          <t>3 anos (linear)</t>
        </is>
      </c>
      <c r="C12" s="5" t="inlineStr">
        <is>
          <t>Vida útil estimada dos equipamentos</t>
        </is>
      </c>
    </row>
    <row r="13">
      <c r="A13" s="18" t="inlineStr">
        <is>
          <t>Modelo AWS</t>
        </is>
      </c>
      <c r="B13" s="5" t="inlineStr">
        <is>
          <t>Saving Plans (1 ano)</t>
        </is>
      </c>
      <c r="C13" s="5" t="inlineStr">
        <is>
          <t>Desconto adicional de 30%</t>
        </is>
      </c>
    </row>
    <row r="14">
      <c r="A14" s="18" t="inlineStr">
        <is>
          <t>Região AWS</t>
        </is>
      </c>
      <c r="B14" s="5" t="inlineStr">
        <is>
          <t>sa-east-1 (São Paulo)</t>
        </is>
      </c>
      <c r="C14" s="5" t="inlineStr">
        <is>
          <t>Latência &lt; 10ms para matriz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2026-04-23T14:50:06Z</dcterms:created>
  <dcterms:modified xsi:type="dcterms:W3CDTF">2026-04-23T14:50:06Z</dcterms:modified>
</cp:coreProperties>
</file>